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 Unit Economics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<sst xmlns="http://schemas.openxmlformats.org/spreadsheetml/2006/main" count="34" uniqueCount="26">
  <si>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COST COMPONENT</t>
  </si>
  <si>
    <t>UNIT (₹/%)</t>
  </si>
  <si>
    <t>INPUT VALUE</t>
  </si>
  <si>
    <t>EFFECTIVE ₹</t>
  </si>
  <si>
    <t>Raw Material</t>
  </si>
  <si>
    <t>₹</t>
  </si>
  <si>
    <t>Production</t>
  </si>
  <si>
    <t>Packaging</t>
  </si>
  <si>
    <t>Shipping</t>
  </si>
  <si>
    <t>RTO Risk</t>
  </si>
  <si>
    <t>%</t>
  </si>
  <si>
    <t>Marketing (CAC)</t>
  </si>
  <si>
    <t>Other Costs</t>
  </si>
  <si>
    <t>Profit Goal</t>
  </si>
  <si>
    <t>Gateway Fees</t>
  </si>
  <si>
    <t>Product GST (%)</t>
  </si>
  <si>
    <t>RECOMMENDED MRP</t>
  </si>
  <si>
    <t>P&amp;L SUMMARY-PER UNIT</t>
  </si>
  <si>
    <t>VALUE</t>
  </si>
  <si>
    <t>Gross Selling Price</t>
  </si>
  <si>
    <t>GST Liability</t>
  </si>
  <si>
    <t>Net Sales</t>
  </si>
  <si>
    <t>Total COGS (RM+Prod+Pack)</t>
  </si>
  <si>
    <t>Logistics (Ship+RTO)</t>
  </si>
  <si>
    <t>Payment Gateway</t>
  </si>
  <si>
    <t>Net Profit (EBITDA)</t>
  </si>
</sst>
</file>

<file path=xl/styles.xml><?xml version="1.0" encoding="utf-8"?>
<styleSheet xmlns="http://schemas.openxmlformats.org/spreadsheetml/2006/main">
  <numFmts count="3">
    <numFmt numFmtId="164" formatCode="₹#,##0.00"/>
    <numFmt numFmtId="165" formatCode="0.0%"/>
    <numFmt numFmtId="166" formatCode="₹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366F1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4ADE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165" fontId="0" fillId="0" borderId="1" xfId="0" applyNumberFormat="1" applyBorder="1"/>
    <xf numFmtId="166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4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 t="s">
        <v>5</v>
      </c>
      <c r="C2">
        <v>300</v>
      </c>
      <c r="D2" s="2">
        <f>IF(B2="₹", C2, $E$11 * C2)</f>
        <v>0</v>
      </c>
    </row>
    <row r="3" spans="1:5">
      <c r="A3" t="s">
        <v>6</v>
      </c>
      <c r="B3" t="s">
        <v>5</v>
      </c>
      <c r="C3">
        <v>50</v>
      </c>
      <c r="D3" s="2">
        <f>IF(B3="₹", C3, $E$11 * C3)</f>
        <v>0</v>
      </c>
    </row>
    <row r="4" spans="1:5">
      <c r="A4" t="s">
        <v>7</v>
      </c>
      <c r="B4" t="s">
        <v>5</v>
      </c>
      <c r="C4">
        <v>15</v>
      </c>
      <c r="D4" s="2">
        <f>IF(B4="₹", C4, $E$11 * C4)</f>
        <v>0</v>
      </c>
    </row>
    <row r="5" spans="1:5">
      <c r="A5" t="s">
        <v>8</v>
      </c>
      <c r="B5" t="s">
        <v>5</v>
      </c>
      <c r="C5">
        <v>65</v>
      </c>
      <c r="D5" s="2">
        <f>IF(B5="₹", C5, $E$11 * C5)</f>
        <v>0</v>
      </c>
    </row>
    <row r="6" spans="1:5">
      <c r="A6" t="s">
        <v>9</v>
      </c>
      <c r="B6" t="s">
        <v>10</v>
      </c>
      <c r="C6" s="3">
        <v>0.05</v>
      </c>
      <c r="D6" s="2">
        <f>IF(B6="₹", C6, $E$11 * C6)</f>
        <v>0</v>
      </c>
    </row>
    <row r="7" spans="1:5">
      <c r="A7" t="s">
        <v>11</v>
      </c>
      <c r="B7" t="s">
        <v>5</v>
      </c>
      <c r="C7">
        <v>150</v>
      </c>
      <c r="D7" s="2">
        <f>IF(B7="₹", C7, $E$11 * C7)</f>
        <v>0</v>
      </c>
    </row>
    <row r="8" spans="1:5">
      <c r="A8" t="s">
        <v>12</v>
      </c>
      <c r="B8" t="s">
        <v>5</v>
      </c>
      <c r="C8">
        <v>0</v>
      </c>
      <c r="D8" s="2">
        <f>IF(B8="₹", C8, $E$11 * C8)</f>
        <v>0</v>
      </c>
    </row>
    <row r="9" spans="1:5">
      <c r="A9" t="s">
        <v>13</v>
      </c>
      <c r="B9" t="s">
        <v>10</v>
      </c>
      <c r="C9" s="3">
        <v>0.2</v>
      </c>
      <c r="D9" s="2">
        <f>IF(B9="₹", C9, $E$11 * C9)</f>
        <v>0</v>
      </c>
    </row>
    <row r="10" spans="1:5">
      <c r="A10" t="s">
        <v>14</v>
      </c>
      <c r="B10" t="s">
        <v>10</v>
      </c>
      <c r="C10" s="3">
        <v>0.02</v>
      </c>
      <c r="D10" s="2">
        <f>IF(B10="₹", C10, $E$11 * C10)</f>
        <v>0</v>
      </c>
    </row>
    <row r="11" spans="1:5">
      <c r="A11" s="1" t="s">
        <v>15</v>
      </c>
      <c r="B11" s="3">
        <v>0.12</v>
      </c>
      <c r="D11" s="1" t="s">
        <v>16</v>
      </c>
      <c r="E11" s="4">
        <f>SUMIF(B2:B10, "₹", C2:C10) / (1 - (SUMIF(B2:B10, "%", C2:C10) + C10*1.18) - (B11/(1+B11)))</f>
        <v>0</v>
      </c>
    </row>
    <row r="14" spans="1:5">
      <c r="A14" s="1" t="s">
        <v>17</v>
      </c>
      <c r="B14" s="1" t="s">
        <v>18</v>
      </c>
    </row>
    <row r="15" spans="1:5">
      <c r="A15" t="s">
        <v>19</v>
      </c>
      <c r="B15" s="2">
        <f>$E$11</f>
        <v>0</v>
      </c>
    </row>
    <row r="16" spans="1:5">
      <c r="A16" t="s">
        <v>20</v>
      </c>
      <c r="B16" s="2">
        <f>$E$11 * (B11/(1+B11))</f>
        <v>0</v>
      </c>
    </row>
    <row r="17" spans="1:2">
      <c r="A17" t="s">
        <v>21</v>
      </c>
      <c r="B17" s="2">
        <f>B15-B16</f>
        <v>0</v>
      </c>
    </row>
    <row r="18" spans="1:2">
      <c r="A18" t="s">
        <v>22</v>
      </c>
      <c r="B18" s="2">
        <f>D2+D3+D4</f>
        <v>0</v>
      </c>
    </row>
    <row r="19" spans="1:2">
      <c r="A19" t="s">
        <v>23</v>
      </c>
      <c r="B19" s="2">
        <f>D5+D6</f>
        <v>0</v>
      </c>
    </row>
    <row r="20" spans="1:2">
      <c r="A20" t="s">
        <v>11</v>
      </c>
      <c r="B20" s="2">
        <f>D7</f>
        <v>0</v>
      </c>
    </row>
    <row r="21" spans="1:2">
      <c r="A21" t="s">
        <v>24</v>
      </c>
      <c r="B21" s="2">
        <f>E11 * C10 * 1.18</f>
        <v>0</v>
      </c>
    </row>
    <row r="22" spans="1:2">
      <c r="A22" t="s">
        <v>25</v>
      </c>
      <c r="B22" s="4">
        <f>B17 - B18 - B19 - B20 - B21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 Unit Economics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2026-04-17T11:17:52Z</dcterms:created>
  <dcterms:modified xsi:type="dcterms:W3CDTF">2026-04-17T11:17:52Z</dcterms:modified>
</cp:coreProperties>
</file>