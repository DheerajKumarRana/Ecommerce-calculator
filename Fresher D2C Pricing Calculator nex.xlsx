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20"/>
  </bookViews>
  <sheets>
    <sheet name="Pricing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<sst xmlns="http://schemas.openxmlformats.org/spreadsheetml/2006/main" count="17" uniqueCount="17">
  <si>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D2C Product Pricing Calculator</t>
  </si>
  <si>
    <t>FRESHER</t>
  </si>
  <si>
    <t>INPUT COSTS (Per Unit)</t>
  </si>
  <si>
    <t>Raw Material Cost</t>
  </si>
  <si>
    <t>Packaging Cost</t>
  </si>
  <si>
    <t>Manufacturing Cost</t>
  </si>
  <si>
    <t>Shipping Cost</t>
  </si>
  <si>
    <t>Return/RTO Cost</t>
  </si>
  <si>
    <t>Marketing (CAC)</t>
  </si>
  <si>
    <t>Platform &amp; Payment Fees</t>
  </si>
  <si>
    <t>Other Costs</t>
  </si>
  <si>
    <t>Total Cost per Unit</t>
  </si>
  <si>
    <t>TARGET MARGIN (%)</t>
  </si>
  <si>
    <t>Desired Profit Margin %</t>
  </si>
  <si>
    <t>Recommended Selling Price</t>
  </si>
  <si>
    <t>GST (%)</t>
  </si>
  <si>
    <t>Final MRP (Including GST)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</si>
</sst>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b/>
      <sz val="14"/>
      <name val="Calibri"/>
      <charset val="134"/>
      <scheme val="minor"/>
    </font>
    <font>
      <b/>
      <u/>
      <sz val="14"/>
      <color theme="3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C12" sqref="C12"/>
    </sheetView>
  </sheetViews>
  <sheetFormatPr defaultColWidth="9" defaultRowHeight="16.8" outlineLevelCol="1"/>
  <cols>
    <col min="1" max="1" width="35" customWidth="1"/>
    <col min="2" max="2" width="20" customWidth="1"/>
  </cols>
  <sheetData>
    <row r="1" ht="20.4" spans="1:2">
      <c r="A1" s="1" t="s">
        <v>0</v>
      </c>
      <c r="B1" s="2" t="s">
        <v>1</v>
      </c>
    </row>
    <row r="3" spans="1:2">
      <c r="A3" s="3" t="s">
        <v>2</v>
      </c>
    </row>
    <row r="4" spans="1:2">
      <c r="A4" t="s">
        <v>3</v>
      </c>
      <c r="B4">
        <v>80</v>
      </c>
    </row>
    <row r="5" spans="1:2">
      <c r="A5" t="s">
        <v>4</v>
      </c>
      <c r="B5">
        <v>40</v>
      </c>
    </row>
    <row r="6" spans="1:2">
      <c r="A6" t="s">
        <v>5</v>
      </c>
      <c r="B6">
        <v>20</v>
      </c>
    </row>
    <row r="7" spans="1:2">
      <c r="A7" t="s">
        <v>6</v>
      </c>
      <c r="B7">
        <v>90</v>
      </c>
    </row>
    <row r="8" spans="1:2">
      <c r="A8" t="s">
        <v>7</v>
      </c>
      <c r="B8">
        <v>20</v>
      </c>
    </row>
    <row r="9" spans="1:2">
      <c r="A9" t="s">
        <v>8</v>
      </c>
      <c r="B9">
        <v>200</v>
      </c>
    </row>
    <row r="10" spans="1:2">
      <c r="A10" t="s">
        <v>9</v>
      </c>
      <c r="B10">
        <v>15</v>
      </c>
    </row>
    <row r="11" spans="1:2">
      <c r="A11" t="s">
        <v>10</v>
      </c>
      <c r="B11">
        <v>25</v>
      </c>
    </row>
    <row r="13" spans="1:2">
      <c r="A13" s="4" t="s">
        <v>11</v>
      </c>
      <c r="B13">
        <f>SUM(B4:B11)</f>
        <v>490</v>
      </c>
    </row>
    <row r="15" spans="1:2">
      <c r="A15" s="4" t="s">
        <v>12</v>
      </c>
    </row>
    <row r="16" spans="1:2">
      <c r="A16" t="s">
        <v>13</v>
      </c>
      <c r="B16">
        <v>30</v>
      </c>
    </row>
    <row r="18" spans="1:2">
      <c r="A18" s="4" t="s">
        <v>14</v>
      </c>
      <c r="B18">
        <f>B13/(1-(B16/100))</f>
        <v>700</v>
      </c>
    </row>
    <row r="20" spans="1:2">
      <c r="A20" t="s">
        <v>15</v>
      </c>
      <c r="B20">
        <v>18</v>
      </c>
    </row>
    <row r="21" spans="1:2">
      <c r="A21" s="4" t="s">
        <v>16</v>
      </c>
      <c r="B21">
        <f>B18*(1+(B20/100))</f>
        <v>826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Pricing Calculator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 Diwan</cp:lastModifiedBy>
  <dcterms:created xsi:type="dcterms:W3CDTF">2026-04-11T15:10:00Z</dcterms:created>
  <dcterms:modified xsi:type="dcterms:W3CDTF">2026-04-11T15:19:12Z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5EDA570A739E738C1819DA6988538613_43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