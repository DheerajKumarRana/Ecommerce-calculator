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Calculator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<sst xmlns="http://schemas.openxmlformats.org/spreadsheetml/2006/main" count="27" uniqueCount="25">
  <si>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USER INPUTS</t>
  </si>
  <si>
    <t>VALUE</t>
  </si>
  <si>
    <t>Product Cost Price (CP)</t>
  </si>
  <si>
    <t>Product Weight (grams)</t>
  </si>
  <si>
    <t>Target Profit Margin (%)</t>
  </si>
  <si>
    <t>PLATFORM &amp; GOVT FEES</t>
  </si>
  <si>
    <t>Product GST (%)</t>
  </si>
  <si>
    <t>Shopify Fee (%)</t>
  </si>
  <si>
    <t>Gateway Fee (%)</t>
  </si>
  <si>
    <t>GST on Fees (%)</t>
  </si>
  <si>
    <t>Packaging Cost (₹)</t>
  </si>
  <si>
    <t>LOGISTICS ESTIMATION</t>
  </si>
  <si>
    <t>Calculated Base Shipping</t>
  </si>
  <si>
    <t>Shipping GST (18%)</t>
  </si>
  <si>
    <t>Total Shipping Cost</t>
  </si>
  <si>
    <t>RECOMMENDED SELLING PRICE</t>
  </si>
  <si>
    <t>FINAL PRICE</t>
  </si>
  <si>
    <t>BREAKDOWN COMPONENT</t>
  </si>
  <si>
    <t>AMOUNT</t>
  </si>
  <si>
    <t>Cost Price (Base)</t>
  </si>
  <si>
    <t>Total Shipping (Shiprocket)</t>
  </si>
  <si>
    <t>Total Platform Fees</t>
  </si>
  <si>
    <t>GST Liability (Payable)</t>
  </si>
  <si>
    <t>Net Profit</t>
  </si>
  <si>
    <t>Final Selling Price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</si>
</sst>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2" fillId="4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5.7109375" customWidth="1"/>
    <col min="4" max="4" width="30.7109375" customWidth="1"/>
    <col min="5" max="5" width="20.7109375" customWidth="1"/>
  </cols>
  <sheetData>
    <row r="1" spans="1:5">
      <c r="A1" s="1" t="s">
        <v>0</v>
      </c>
      <c r="B1" s="1" t="s">
        <v>1</v>
      </c>
      <c r="D1" s="1" t="s">
        <v>11</v>
      </c>
      <c r="E1" s="1" t="s">
        <v>1</v>
      </c>
    </row>
    <row r="2" spans="1:5">
      <c r="A2" t="s">
        <v>2</v>
      </c>
      <c r="B2" s="2">
        <v>500</v>
      </c>
      <c r="D2" t="s">
        <v>12</v>
      </c>
      <c r="E2" s="3">
        <f>(CEILING(B3/500, 1)*45 + 10)</f>
        <v>0</v>
      </c>
    </row>
    <row r="3" spans="1:5">
      <c r="A3" t="s">
        <v>3</v>
      </c>
      <c r="B3" s="2">
        <v>500</v>
      </c>
      <c r="D3" t="s">
        <v>13</v>
      </c>
      <c r="E3" s="3">
        <f>E2*0.18</f>
        <v>0</v>
      </c>
    </row>
    <row r="4" spans="1:5">
      <c r="A4" t="s">
        <v>4</v>
      </c>
      <c r="B4" s="4">
        <v>0.25</v>
      </c>
      <c r="D4" t="s">
        <v>14</v>
      </c>
      <c r="E4" s="3">
        <f>E2+E3</f>
        <v>0</v>
      </c>
    </row>
    <row r="6" spans="1:5">
      <c r="A6" s="1" t="s">
        <v>5</v>
      </c>
      <c r="B6" s="1" t="s">
        <v>1</v>
      </c>
      <c r="D6" s="1" t="s">
        <v>15</v>
      </c>
      <c r="E6" s="1" t="s">
        <v>16</v>
      </c>
    </row>
    <row r="7" spans="1:5">
      <c r="A7" t="s">
        <v>6</v>
      </c>
      <c r="B7" s="4">
        <v>0.12</v>
      </c>
      <c r="E7" s="5">
        <f>(B2 + E4 + B11) / (1 - B4 - (B8 + B9) * (1 + B10) - (B7 / (1 + B7)))</f>
        <v>0</v>
      </c>
    </row>
    <row r="8" spans="1:5">
      <c r="A8" t="s">
        <v>7</v>
      </c>
      <c r="B8" s="4">
        <v>0.02</v>
      </c>
    </row>
    <row r="9" spans="1:5">
      <c r="A9" t="s">
        <v>8</v>
      </c>
      <c r="B9" s="4">
        <v>0.02</v>
      </c>
    </row>
    <row r="10" spans="1:5">
      <c r="A10" t="s">
        <v>9</v>
      </c>
      <c r="B10" s="4">
        <v>0.18</v>
      </c>
    </row>
    <row r="11" spans="1:5">
      <c r="A11" t="s">
        <v>10</v>
      </c>
      <c r="B11" s="6">
        <v>15</v>
      </c>
    </row>
    <row r="14" spans="1:5">
      <c r="A14" s="1" t="s">
        <v>17</v>
      </c>
      <c r="B14" s="1" t="s">
        <v>18</v>
      </c>
    </row>
    <row r="15" spans="1:5">
      <c r="A15" t="s">
        <v>19</v>
      </c>
      <c r="B15" s="3">
        <f>B2</f>
        <v>0</v>
      </c>
    </row>
    <row r="16" spans="1:5">
      <c r="A16" t="s">
        <v>20</v>
      </c>
      <c r="B16" s="3">
        <f>E4</f>
        <v>0</v>
      </c>
    </row>
    <row r="17" spans="1:2">
      <c r="A17" t="s">
        <v>21</v>
      </c>
      <c r="B17" s="3">
        <f>E7 * (B8 + B9) * (1 + B10)</f>
        <v>0</v>
      </c>
    </row>
    <row r="18" spans="1:2">
      <c r="A18" t="s">
        <v>22</v>
      </c>
      <c r="B18" s="3">
        <f>E7 * (B7 / (1 + B7))</f>
        <v>0</v>
      </c>
    </row>
    <row r="19" spans="1:2">
      <c r="A19" t="s">
        <v>23</v>
      </c>
      <c r="B19" s="3">
        <f>E7 * B4</f>
        <v>0</v>
      </c>
    </row>
    <row r="20" spans="1:2">
      <c r="A20" t="s">
        <v>24</v>
      </c>
      <c r="B20" s="5">
        <f>E7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2026-04-17T09:56:12Z</dcterms:created>
  <dcterms:modified xsi:type="dcterms:W3CDTF">2026-04-17T09:56:12Z</dcterms:modified>
</cp:coreProperties>
</file>